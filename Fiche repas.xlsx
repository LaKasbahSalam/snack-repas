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urnal Repas" sheetId="1" r:id="rId5"/>
    <sheet state="visible" name="Repas  Mois" sheetId="2" r:id="rId6"/>
    <sheet state="visible" name="Journal Snack" sheetId="3" r:id="rId7"/>
    <sheet state="visible" name="Snackmois" sheetId="4" r:id="rId8"/>
    <sheet state="visible" name="Cout par item" sheetId="5" r:id="rId9"/>
  </sheets>
  <definedNames/>
  <calcPr/>
</workbook>
</file>

<file path=xl/sharedStrings.xml><?xml version="1.0" encoding="utf-8"?>
<sst xmlns="http://schemas.openxmlformats.org/spreadsheetml/2006/main" count="50" uniqueCount="47">
  <si>
    <t>ID</t>
  </si>
  <si>
    <t>Id</t>
  </si>
  <si>
    <t>Date</t>
  </si>
  <si>
    <t>Description</t>
  </si>
  <si>
    <t>Depenses</t>
  </si>
  <si>
    <t>Depenses Extras</t>
  </si>
  <si>
    <t>Montant</t>
  </si>
  <si>
    <t>Produits</t>
  </si>
  <si>
    <t>Montant total cumule</t>
  </si>
  <si>
    <t>Organisation</t>
  </si>
  <si>
    <t>Revenu net</t>
  </si>
  <si>
    <t>Nbre de Personne</t>
  </si>
  <si>
    <t>Paiement par personne</t>
  </si>
  <si>
    <t>Qui encaisse</t>
  </si>
  <si>
    <t>Couscous</t>
  </si>
  <si>
    <t>Salaire Saida</t>
  </si>
  <si>
    <t>Kefta</t>
  </si>
  <si>
    <t>Ayoub</t>
  </si>
  <si>
    <t>conservation</t>
  </si>
  <si>
    <t>Qte achete</t>
  </si>
  <si>
    <t>Prix</t>
  </si>
  <si>
    <t>Prix/unite</t>
  </si>
  <si>
    <t>Frites</t>
  </si>
  <si>
    <t>Frites et nuggets</t>
  </si>
  <si>
    <t xml:space="preserve"> Burger</t>
  </si>
  <si>
    <t>PaniniKefta</t>
  </si>
  <si>
    <t>P.kefNug</t>
  </si>
  <si>
    <t>P.NugDinde</t>
  </si>
  <si>
    <t>Pain panini</t>
  </si>
  <si>
    <t>Pain Burger</t>
  </si>
  <si>
    <t>frites</t>
  </si>
  <si>
    <t>nuggets</t>
  </si>
  <si>
    <t>kefta</t>
  </si>
  <si>
    <t>tomate</t>
  </si>
  <si>
    <t>oignons</t>
  </si>
  <si>
    <t>sauce</t>
  </si>
  <si>
    <t>filet de dinde fumee</t>
  </si>
  <si>
    <t>Avocat</t>
  </si>
  <si>
    <t>Nouvel ingrédient</t>
  </si>
  <si>
    <t>Produit</t>
  </si>
  <si>
    <t>Coût revient</t>
  </si>
  <si>
    <t>Objectif de Revient</t>
  </si>
  <si>
    <t>Prix de vente</t>
  </si>
  <si>
    <t>Marge (DH)</t>
  </si>
  <si>
    <t>Coût / prix</t>
  </si>
  <si>
    <t>Prix conseillé</t>
  </si>
  <si>
    <t>Objectif coût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</si>
</sst>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2" xfId="0" applyFont="1" applyNumberFormat="1"/>
    <xf borderId="0" fillId="2" fontId="1" numFmtId="0" xfId="0" applyAlignment="1" applyFill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2" xfId="0" applyFont="1" applyNumberFormat="1"/>
    <xf borderId="0" fillId="3" fontId="1" numFmtId="1" xfId="0" applyAlignment="1" applyFill="1" applyFont="1" applyNumberFormat="1">
      <alignment readingOrder="0"/>
    </xf>
    <xf borderId="0" fillId="0" fontId="1" numFmtId="9" xfId="0" applyFont="1" applyNumberFormat="1"/>
    <xf borderId="0" fillId="0" fontId="1" numFmtId="1" xfId="0" applyFont="1" applyNumberFormat="1"/>
    <xf borderId="0" fillId="3" fontId="1" numFmtId="9" xfId="0" applyAlignment="1" applyFill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1266825" cy="952500"/>
    <xdr:pic>
      <xdr:nvPicPr>
        <xdr:cNvPr id="0" name="image2.jpg" title="frites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266825" cy="952500"/>
    <xdr:pic>
      <xdr:nvPicPr>
        <xdr:cNvPr id="0" name="image1.jpg" title="frites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1266825" cy="952500"/>
    <xdr:pic>
      <xdr:nvPicPr>
        <xdr:cNvPr id="0" name="image3.jpg" title="burge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1266825" cy="952500"/>
    <xdr:pic>
      <xdr:nvPicPr>
        <xdr:cNvPr id="0" name="image5.jpg" title="panini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1266825" cy="952500"/>
    <xdr:pic>
      <xdr:nvPicPr>
        <xdr:cNvPr id="0" name="image4.jpg" title="panini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1038225" cy="771525"/>
    <xdr:pic>
      <xdr:nvPicPr>
        <xdr:cNvPr id="0" name="image4.jpg" title="panini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7.0"/>
    <col customWidth="1" min="5" max="5" width="15.88"/>
    <col customWidth="1" min="7" max="9" width="17.5"/>
    <col customWidth="1" min="10" max="10" width="19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>
      <c r="B2" s="2">
        <v>46276.0</v>
      </c>
      <c r="C2" s="1" t="s">
        <v>14</v>
      </c>
      <c r="D2" s="1">
        <v>260.0</v>
      </c>
      <c r="E2" s="1"/>
      <c r="F2" s="1">
        <v>360.0</v>
      </c>
      <c r="G2" s="1"/>
      <c r="H2" s="1">
        <f t="shared" ref="H2:H15" si="1">F2-SUM(D2,E2)</f>
        <v>100</v>
      </c>
      <c r="I2" s="1">
        <v>6.0</v>
      </c>
      <c r="J2" s="1">
        <v>60.0</v>
      </c>
      <c r="K2" s="1" t="s">
        <v>15</v>
      </c>
    </row>
    <row r="3">
      <c r="B3" s="2">
        <v>46278.0</v>
      </c>
      <c r="C3" s="1" t="s">
        <v>16</v>
      </c>
      <c r="D3" s="1">
        <v>240.0</v>
      </c>
      <c r="E3" s="1">
        <v>80.0</v>
      </c>
      <c r="F3" s="1">
        <v>420.0</v>
      </c>
      <c r="G3" s="1" t="s">
        <v>17</v>
      </c>
      <c r="H3" s="1">
        <f t="shared" si="1"/>
        <v>100</v>
      </c>
      <c r="I3" s="1">
        <v>7.0</v>
      </c>
      <c r="K3" s="1"/>
    </row>
    <row r="4">
      <c r="G4" s="1"/>
      <c r="H4" s="1">
        <f t="shared" si="1"/>
        <v>0</v>
      </c>
    </row>
    <row r="5">
      <c r="G5" s="1"/>
      <c r="H5" s="1">
        <f t="shared" si="1"/>
        <v>0</v>
      </c>
    </row>
    <row r="6">
      <c r="G6" s="1"/>
      <c r="H6" s="1">
        <f t="shared" si="1"/>
        <v>0</v>
      </c>
    </row>
    <row r="7">
      <c r="G7" s="1"/>
      <c r="H7" s="1">
        <f t="shared" si="1"/>
        <v>0</v>
      </c>
    </row>
    <row r="8">
      <c r="G8" s="1"/>
      <c r="H8" s="1">
        <f t="shared" si="1"/>
        <v>0</v>
      </c>
    </row>
    <row r="9">
      <c r="G9" s="1"/>
      <c r="H9" s="1">
        <f t="shared" si="1"/>
        <v>0</v>
      </c>
    </row>
    <row r="10">
      <c r="G10" s="1"/>
      <c r="H10" s="1">
        <f t="shared" si="1"/>
        <v>0</v>
      </c>
    </row>
    <row r="11">
      <c r="G11" s="1"/>
      <c r="H11" s="1">
        <f t="shared" si="1"/>
        <v>0</v>
      </c>
    </row>
    <row r="12">
      <c r="G12" s="1"/>
      <c r="H12" s="1">
        <f t="shared" si="1"/>
        <v>0</v>
      </c>
    </row>
    <row r="13">
      <c r="G13" s="1"/>
      <c r="H13" s="1">
        <f t="shared" si="1"/>
        <v>0</v>
      </c>
    </row>
    <row r="14">
      <c r="G14" s="1"/>
      <c r="H14" s="1">
        <f t="shared" si="1"/>
        <v>0</v>
      </c>
    </row>
    <row r="15">
      <c r="G15" s="1"/>
      <c r="H15" s="1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75"/>
  </cols>
  <sheetData>
    <row r="1">
      <c r="A1" s="1" t="s">
        <v>1</v>
      </c>
      <c r="B1" s="1" t="s">
        <v>2</v>
      </c>
      <c r="C1" s="1" t="s">
        <v>3</v>
      </c>
      <c r="D1" s="1" t="s">
        <v>6</v>
      </c>
      <c r="E1" s="1" t="s">
        <v>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6.63"/>
    <col customWidth="1" min="5" max="5" width="18.75"/>
    <col customWidth="1" min="6" max="6" width="16.75"/>
    <col customWidth="1" min="7" max="7" width="19.5"/>
    <col customWidth="1" min="8" max="10" width="16.75"/>
    <col customWidth="1" min="11" max="11" width="13.63"/>
    <col customWidth="1" min="13" max="14" width="13.63"/>
  </cols>
  <sheetData>
    <row r="1" ht="7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3" t="s">
        <v>18</v>
      </c>
      <c r="B2" s="3" t="s">
        <v>3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23.25" customHeight="1">
      <c r="B3" s="1" t="s">
        <v>28</v>
      </c>
      <c r="C3" s="1">
        <v>4.0</v>
      </c>
      <c r="D3" s="1">
        <v>17.5</v>
      </c>
      <c r="E3" s="5">
        <f t="shared" ref="E3:E12" si="1">IF(AND(C3&gt;0,D3&lt;&gt;""),D3/C3,0)</f>
        <v>4.375</v>
      </c>
      <c r="F3" s="1">
        <v>0.0</v>
      </c>
      <c r="G3" s="1">
        <v>0.0</v>
      </c>
      <c r="H3" s="1">
        <v>0.0</v>
      </c>
      <c r="I3" s="1">
        <v>1.0</v>
      </c>
      <c r="J3" s="1">
        <v>1.0</v>
      </c>
      <c r="K3" s="1">
        <v>1.0</v>
      </c>
    </row>
    <row r="4" ht="23.25" customHeight="1">
      <c r="B4" s="1" t="s">
        <v>29</v>
      </c>
      <c r="C4" s="1">
        <v>4.0</v>
      </c>
      <c r="D4" s="1">
        <v>13.5</v>
      </c>
      <c r="E4" s="5">
        <f t="shared" si="1"/>
        <v>3.375</v>
      </c>
      <c r="F4" s="1">
        <v>0.0</v>
      </c>
      <c r="G4" s="1">
        <v>0.0</v>
      </c>
      <c r="H4" s="1">
        <v>1.0</v>
      </c>
      <c r="I4" s="1">
        <v>0.0</v>
      </c>
      <c r="J4" s="1">
        <v>0.0</v>
      </c>
      <c r="K4" s="1">
        <v>0.0</v>
      </c>
    </row>
    <row r="5" ht="23.25" customHeight="1">
      <c r="B5" s="1" t="s">
        <v>30</v>
      </c>
      <c r="C5" s="1">
        <v>6.0</v>
      </c>
      <c r="D5" s="1">
        <v>30.0</v>
      </c>
      <c r="E5" s="5">
        <f t="shared" si="1"/>
        <v>5</v>
      </c>
      <c r="F5" s="1">
        <v>1.0</v>
      </c>
      <c r="G5" s="1">
        <v>1.0</v>
      </c>
      <c r="H5" s="1">
        <v>0.0</v>
      </c>
      <c r="I5" s="1">
        <v>0.0</v>
      </c>
      <c r="J5" s="1">
        <v>1.0</v>
      </c>
      <c r="K5" s="1">
        <v>0.0</v>
      </c>
    </row>
    <row r="6" ht="23.25" customHeight="1">
      <c r="B6" s="1" t="s">
        <v>31</v>
      </c>
      <c r="C6" s="6">
        <v>70.0</v>
      </c>
      <c r="D6" s="1">
        <v>120.0</v>
      </c>
      <c r="E6" s="5">
        <f t="shared" si="1"/>
        <v>1.714285714</v>
      </c>
      <c r="F6" s="1">
        <v>0.0</v>
      </c>
      <c r="G6" s="1">
        <v>6.0</v>
      </c>
      <c r="H6" s="1">
        <v>0.0</v>
      </c>
      <c r="I6" s="1">
        <v>0.0</v>
      </c>
      <c r="J6" s="1">
        <v>3.0</v>
      </c>
      <c r="K6" s="1">
        <v>3.0</v>
      </c>
    </row>
    <row r="7" ht="23.25" customHeight="1">
      <c r="B7" s="1" t="s">
        <v>32</v>
      </c>
      <c r="C7" s="1">
        <v>49.0</v>
      </c>
      <c r="D7" s="1">
        <v>120.0</v>
      </c>
      <c r="E7" s="5">
        <f t="shared" si="1"/>
        <v>2.448979592</v>
      </c>
      <c r="F7" s="1">
        <v>0.0</v>
      </c>
      <c r="G7" s="1">
        <v>0.0</v>
      </c>
      <c r="H7" s="1">
        <v>5.0</v>
      </c>
      <c r="I7" s="1">
        <v>5.0</v>
      </c>
      <c r="J7" s="1">
        <v>3.0</v>
      </c>
      <c r="K7" s="1">
        <v>0.0</v>
      </c>
    </row>
    <row r="8" ht="23.25" customHeight="1">
      <c r="B8" s="1" t="s">
        <v>33</v>
      </c>
      <c r="C8" s="1">
        <v>4.0</v>
      </c>
      <c r="D8" s="1">
        <v>8.0</v>
      </c>
      <c r="E8" s="5">
        <f t="shared" si="1"/>
        <v>2</v>
      </c>
      <c r="F8" s="1">
        <v>0.0</v>
      </c>
      <c r="G8" s="1">
        <v>0.0</v>
      </c>
      <c r="H8" s="1">
        <v>0.5</v>
      </c>
      <c r="I8" s="1">
        <v>0.5</v>
      </c>
      <c r="J8" s="1">
        <v>0.5</v>
      </c>
      <c r="K8" s="1">
        <v>0.5</v>
      </c>
    </row>
    <row r="9" ht="23.25" customHeight="1">
      <c r="B9" s="1" t="s">
        <v>34</v>
      </c>
      <c r="C9" s="1">
        <v>10.0</v>
      </c>
      <c r="D9" s="1">
        <v>8.0</v>
      </c>
      <c r="E9" s="5">
        <f t="shared" si="1"/>
        <v>0.8</v>
      </c>
      <c r="F9" s="1">
        <v>0.0</v>
      </c>
      <c r="G9" s="1">
        <v>0.0</v>
      </c>
      <c r="H9" s="1">
        <v>0.5</v>
      </c>
      <c r="I9" s="1">
        <v>0.5</v>
      </c>
      <c r="J9" s="1">
        <v>0.5</v>
      </c>
      <c r="K9" s="1">
        <v>0.5</v>
      </c>
    </row>
    <row r="10" ht="23.25" customHeight="1">
      <c r="B10" s="1" t="s">
        <v>35</v>
      </c>
      <c r="C10" s="1">
        <v>20.0</v>
      </c>
      <c r="D10" s="1">
        <v>30.0</v>
      </c>
      <c r="E10" s="5">
        <f t="shared" si="1"/>
        <v>1.5</v>
      </c>
      <c r="F10" s="1">
        <v>1.0</v>
      </c>
      <c r="G10" s="1">
        <v>0.0</v>
      </c>
      <c r="H10" s="1">
        <v>1.0</v>
      </c>
      <c r="I10" s="1">
        <v>1.0</v>
      </c>
      <c r="J10" s="1">
        <v>1.0</v>
      </c>
      <c r="K10" s="1">
        <v>1.0</v>
      </c>
    </row>
    <row r="11" ht="23.25" customHeight="1">
      <c r="B11" s="1" t="s">
        <v>36</v>
      </c>
      <c r="C11" s="6">
        <v>50.0</v>
      </c>
      <c r="D11" s="1">
        <v>80.0</v>
      </c>
      <c r="E11" s="5">
        <f t="shared" si="1"/>
        <v>1.6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3.0</v>
      </c>
    </row>
    <row r="12" ht="23.25" customHeight="1">
      <c r="B12" s="1" t="s">
        <v>37</v>
      </c>
      <c r="C12" s="6"/>
      <c r="D12" s="1"/>
      <c r="E12" s="5">
        <f t="shared" si="1"/>
        <v>0</v>
      </c>
      <c r="F12" s="1">
        <v>0.0</v>
      </c>
      <c r="G12" s="1">
        <v>0.0</v>
      </c>
      <c r="H12" s="1">
        <v>0.0</v>
      </c>
      <c r="I12" s="1"/>
      <c r="J12" s="1">
        <v>0.0</v>
      </c>
      <c r="K12" s="1">
        <v>0.0</v>
      </c>
    </row>
    <row r="13" ht="23.25" customHeight="1">
      <c r="B13" s="1" t="s">
        <v>38</v>
      </c>
      <c r="C13" s="6"/>
      <c r="D13" s="1"/>
      <c r="E13" s="5"/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</row>
    <row r="14" ht="23.25" customHeight="1">
      <c r="E14" s="1" t="s">
        <v>39</v>
      </c>
      <c r="F14" s="7" t="str">
        <f t="shared" ref="F14:K14" si="2">F2</f>
        <v>Frites</v>
      </c>
      <c r="G14" s="7" t="str">
        <f t="shared" si="2"/>
        <v>Frites et nuggets</v>
      </c>
      <c r="H14" s="8" t="str">
        <f t="shared" si="2"/>
        <v> Burger</v>
      </c>
      <c r="I14" s="9" t="str">
        <f t="shared" si="2"/>
        <v>PaniniKefta</v>
      </c>
      <c r="J14" s="8" t="str">
        <f t="shared" si="2"/>
        <v>P.kefNug</v>
      </c>
      <c r="K14" s="7" t="str">
        <f t="shared" si="2"/>
        <v>P.NugDinde</v>
      </c>
    </row>
    <row r="15" ht="23.25" customHeight="1">
      <c r="E15" s="10" t="s">
        <v>40</v>
      </c>
      <c r="F15" s="11">
        <f t="shared" ref="F15:K15" si="3">SUMPRODUCT($E$3:$E$12,F3:F12)</f>
        <v>6.5</v>
      </c>
      <c r="G15" s="11">
        <f t="shared" si="3"/>
        <v>15.28571429</v>
      </c>
      <c r="H15" s="11">
        <f t="shared" si="3"/>
        <v>18.51989796</v>
      </c>
      <c r="I15" s="11">
        <f t="shared" si="3"/>
        <v>19.51989796</v>
      </c>
      <c r="J15" s="11">
        <f t="shared" si="3"/>
        <v>24.76479592</v>
      </c>
      <c r="K15" s="11">
        <f t="shared" si="3"/>
        <v>17.21785714</v>
      </c>
    </row>
    <row r="16" ht="23.25" customHeight="1">
      <c r="E16" s="10" t="s">
        <v>41</v>
      </c>
      <c r="F16" s="12"/>
      <c r="G16" s="12">
        <f t="shared" ref="G16:K16" si="4">G17/3</f>
        <v>11.66666667</v>
      </c>
      <c r="H16" s="12">
        <f t="shared" si="4"/>
        <v>13.33333333</v>
      </c>
      <c r="I16" s="12">
        <f t="shared" si="4"/>
        <v>13.33333333</v>
      </c>
      <c r="J16" s="12">
        <f t="shared" si="4"/>
        <v>16.66666667</v>
      </c>
      <c r="K16" s="12">
        <f t="shared" si="4"/>
        <v>13.33333333</v>
      </c>
    </row>
    <row r="17" ht="23.25" customHeight="1">
      <c r="E17" s="10" t="s">
        <v>42</v>
      </c>
      <c r="F17" s="12">
        <v>20.0</v>
      </c>
      <c r="G17" s="12">
        <v>35.0</v>
      </c>
      <c r="H17" s="12">
        <v>40.0</v>
      </c>
      <c r="I17" s="12">
        <v>40.0</v>
      </c>
      <c r="J17" s="12">
        <v>50.0</v>
      </c>
      <c r="K17" s="12">
        <v>40.0</v>
      </c>
    </row>
    <row r="18" ht="23.25" customHeight="1">
      <c r="E18" s="10" t="s">
        <v>43</v>
      </c>
      <c r="F18" s="5">
        <f t="shared" ref="F18:K18" si="5">IF(F17="","",F17-F15)</f>
        <v>13.5</v>
      </c>
      <c r="G18" s="5">
        <f t="shared" si="5"/>
        <v>19.71428571</v>
      </c>
      <c r="H18" s="5">
        <f t="shared" si="5"/>
        <v>21.48010204</v>
      </c>
      <c r="I18" s="5">
        <f t="shared" si="5"/>
        <v>20.48010204</v>
      </c>
      <c r="J18" s="5">
        <f t="shared" si="5"/>
        <v>25.23520408</v>
      </c>
      <c r="K18" s="5">
        <f t="shared" si="5"/>
        <v>22.78214286</v>
      </c>
    </row>
    <row r="19" ht="23.25" customHeight="1">
      <c r="E19" s="10" t="s">
        <v>44</v>
      </c>
      <c r="F19" s="13">
        <f t="shared" ref="F19:K19" si="6">IF(F17="","",F15/F17)</f>
        <v>0.325</v>
      </c>
      <c r="G19" s="13">
        <f t="shared" si="6"/>
        <v>0.4367346939</v>
      </c>
      <c r="H19" s="13">
        <f t="shared" si="6"/>
        <v>0.462997449</v>
      </c>
      <c r="I19" s="13">
        <f t="shared" si="6"/>
        <v>0.487997449</v>
      </c>
      <c r="J19" s="13">
        <f t="shared" si="6"/>
        <v>0.4952959184</v>
      </c>
      <c r="K19" s="13">
        <f t="shared" si="6"/>
        <v>0.4304464286</v>
      </c>
    </row>
    <row r="20" ht="23.25" customHeight="1">
      <c r="E20" s="10" t="s">
        <v>45</v>
      </c>
      <c r="F20" s="14">
        <f t="shared" ref="F20:K20" si="7">CEILING(F15/$F$22,5)</f>
        <v>20</v>
      </c>
      <c r="G20" s="14">
        <f t="shared" si="7"/>
        <v>45</v>
      </c>
      <c r="H20" s="14">
        <f t="shared" si="7"/>
        <v>55</v>
      </c>
      <c r="I20" s="14">
        <f t="shared" si="7"/>
        <v>60</v>
      </c>
      <c r="J20" s="14">
        <f t="shared" si="7"/>
        <v>75</v>
      </c>
      <c r="K20" s="14">
        <f t="shared" si="7"/>
        <v>50</v>
      </c>
    </row>
    <row r="21" ht="23.25" customHeight="1"/>
    <row r="22" ht="23.25" customHeight="1">
      <c r="E22" s="10" t="s">
        <v>46</v>
      </c>
      <c r="F22" s="15">
        <v>0.35</v>
      </c>
    </row>
  </sheetData>
  <conditionalFormatting sqref="F19:K19">
    <cfRule type="expression" dxfId="0" priority="1" stopIfTrue="1">
      <formula>AND(F19&lt;&gt;"",F19&gt;$F$22)</formula>
    </cfRule>
  </conditionalFormatting>
  <conditionalFormatting sqref="F19:K19">
    <cfRule type="expression" dxfId="1" priority="2" stopIfTrue="1">
      <formula>AND(F19&lt;&gt;"",F19&lt;=$F$22)</formula>
    </cfRule>
  </conditionalFormatting>
  <conditionalFormatting sqref="E3:E13">
    <cfRule type="expression" dxfId="2" priority="3" stopIfTrue="1">
      <formula>OR($C3="",$C3&lt;=0,$D3="")</formula>
    </cfRule>
  </conditionalFormatting>
  <drawing r:id="rId1"/>
</worksheet>
</file>